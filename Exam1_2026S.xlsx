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duta\OneDrive\Desktop\Projects\mbs-pool\"/>
    </mc:Choice>
  </mc:AlternateContent>
  <bookViews>
    <workbookView xWindow="1164" yWindow="1620" windowWidth="26916" windowHeight="11880"/>
  </bookViews>
  <sheets>
    <sheet name="Exam" sheetId="1" r:id="rId1"/>
    <sheet name="Financials" sheetId="2" r:id="rId2"/>
  </sheets>
  <definedNames>
    <definedName name="_xlnm.Print_Area" localSheetId="0">Exam!$A$5:$H$88</definedName>
    <definedName name="_xlnm.Print_Titles" localSheetId="0">Exam!$1:$3</definedName>
  </definedNames>
  <calcPr calcId="162913"/>
</workbook>
</file>

<file path=xl/calcChain.xml><?xml version="1.0" encoding="utf-8"?>
<calcChain xmlns="http://schemas.openxmlformats.org/spreadsheetml/2006/main">
  <c r="H44" i="2" l="1"/>
  <c r="G44" i="2"/>
  <c r="F44" i="2"/>
  <c r="E44" i="2"/>
  <c r="D44" i="2"/>
  <c r="C44" i="2"/>
  <c r="B44" i="2"/>
  <c r="C24" i="1"/>
  <c r="C23" i="1"/>
  <c r="C25" i="1" s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4" i="1"/>
  <c r="C3" i="1"/>
</calcChain>
</file>

<file path=xl/sharedStrings.xml><?xml version="1.0" encoding="utf-8"?>
<sst xmlns="http://schemas.openxmlformats.org/spreadsheetml/2006/main" count="192" uniqueCount="189">
  <si>
    <t>Select Your ID from the Dropdown Menu=====&gt;</t>
  </si>
  <si>
    <t>Last Name:</t>
  </si>
  <si>
    <t>TEST VERSION:</t>
  </si>
  <si>
    <t>2026S-Sivin</t>
  </si>
  <si>
    <t>First Name:</t>
  </si>
  <si>
    <t>Please use the  Financial Statements provided in the sheet "Financials" for Questions 1 to 20 (Use Methodology As Discussed in Class i.e. GE Model)</t>
  </si>
  <si>
    <t>Cost of Good Sold (Excluding D&amp;A) for Next Fiscal Year</t>
  </si>
  <si>
    <t>SG&amp;A Expense for Next Fiscal Year</t>
  </si>
  <si>
    <t>Not Selected</t>
  </si>
  <si>
    <t>Depreciation &amp; Amortization for Next Fiscal Year</t>
  </si>
  <si>
    <t>A12345678</t>
  </si>
  <si>
    <t>Sivin</t>
  </si>
  <si>
    <t>G</t>
  </si>
  <si>
    <t>Accounts Receivable for Next Fiscal Year</t>
  </si>
  <si>
    <t>A22402719</t>
  </si>
  <si>
    <t>Lin</t>
  </si>
  <si>
    <t>Shu</t>
  </si>
  <si>
    <t>Inventories for Next Fiscal Year</t>
  </si>
  <si>
    <t>A22247473</t>
  </si>
  <si>
    <t>Ponce</t>
  </si>
  <si>
    <t>Oswaldo</t>
  </si>
  <si>
    <t>Accounts Payable for Next Fiscal Year</t>
  </si>
  <si>
    <t>A22394373</t>
  </si>
  <si>
    <t>Pudimott</t>
  </si>
  <si>
    <t>Christopher</t>
  </si>
  <si>
    <t>Capital Expenditures for Next Fiscal Year</t>
  </si>
  <si>
    <t>A22773518</t>
  </si>
  <si>
    <t>Aggarwal</t>
  </si>
  <si>
    <t>Moksha</t>
  </si>
  <si>
    <t>Funds from Operations for Next Fiscal Year</t>
  </si>
  <si>
    <t>A22773258</t>
  </si>
  <si>
    <t>Alberts</t>
  </si>
  <si>
    <t>Anthony</t>
  </si>
  <si>
    <t>Cash Dividends for Next Fiscal Year</t>
  </si>
  <si>
    <t>A23186424</t>
  </si>
  <si>
    <t>Braglia</t>
  </si>
  <si>
    <t>Edoardo</t>
  </si>
  <si>
    <t>Leverage Ratio for Next Fiscal Year</t>
  </si>
  <si>
    <t>A19058599</t>
  </si>
  <si>
    <t>Butt</t>
  </si>
  <si>
    <t>Smile</t>
  </si>
  <si>
    <t>Times Interest Earned for Next Fiscal Year</t>
  </si>
  <si>
    <t>A23147632</t>
  </si>
  <si>
    <t>Chamarthi</t>
  </si>
  <si>
    <t>Divya Akshitha</t>
  </si>
  <si>
    <t>Current Ratio for Next Fiscal Year</t>
  </si>
  <si>
    <t>A23257742</t>
  </si>
  <si>
    <t>Coutant</t>
  </si>
  <si>
    <t>Victor</t>
  </si>
  <si>
    <t>ROA for Next Fiscal Year</t>
  </si>
  <si>
    <t>A23225723</t>
  </si>
  <si>
    <t>Farfan Paredes</t>
  </si>
  <si>
    <t>Luis Enrique</t>
  </si>
  <si>
    <t>ROE for Next Fiscal Year</t>
  </si>
  <si>
    <t>A17919006</t>
  </si>
  <si>
    <t>Fernandez</t>
  </si>
  <si>
    <t>Raymond</t>
  </si>
  <si>
    <t>Quick Ratio for Next Fiscal Year</t>
  </si>
  <si>
    <t>A23160957</t>
  </si>
  <si>
    <t>Benani</t>
  </si>
  <si>
    <t>Jainam</t>
  </si>
  <si>
    <t>ROIC for Next Fiscal Year</t>
  </si>
  <si>
    <t>A23258366</t>
  </si>
  <si>
    <t>Goel</t>
  </si>
  <si>
    <t>Nandini</t>
  </si>
  <si>
    <t>Upside Target Price for Next 12 Months if 30x PE Multiple is assumed</t>
  </si>
  <si>
    <t>A23147567</t>
  </si>
  <si>
    <t>Guglielmi</t>
  </si>
  <si>
    <t>Ludovica</t>
  </si>
  <si>
    <t>Downside Target Price for Next 12 Months if 20x PE Multiple is assumed</t>
  </si>
  <si>
    <t>A23214686</t>
  </si>
  <si>
    <t>James</t>
  </si>
  <si>
    <t>Deirdre</t>
  </si>
  <si>
    <t>% Upside based on current stock price of $165.55</t>
  </si>
  <si>
    <t>A18181138</t>
  </si>
  <si>
    <t>Jean Baptiste</t>
  </si>
  <si>
    <t>Naedge</t>
  </si>
  <si>
    <t>% Downside based on current stock price of $165.55</t>
  </si>
  <si>
    <t>A18997538</t>
  </si>
  <si>
    <t>Juncaj</t>
  </si>
  <si>
    <t>Anton</t>
  </si>
  <si>
    <t>A23196460</t>
  </si>
  <si>
    <t>Krohnstad</t>
  </si>
  <si>
    <t>Erik</t>
  </si>
  <si>
    <t>A22850244</t>
  </si>
  <si>
    <t>Laverty</t>
  </si>
  <si>
    <t>Kathryn</t>
  </si>
  <si>
    <t>A19199415</t>
  </si>
  <si>
    <t>Little</t>
  </si>
  <si>
    <t>Candyce</t>
  </si>
  <si>
    <t>A22773648</t>
  </si>
  <si>
    <t>Lombardo</t>
  </si>
  <si>
    <t>Nicholas</t>
  </si>
  <si>
    <t>A23251710</t>
  </si>
  <si>
    <t>Magistrelli</t>
  </si>
  <si>
    <t>Federico</t>
  </si>
  <si>
    <t>A22804887</t>
  </si>
  <si>
    <t>Mehta</t>
  </si>
  <si>
    <t>Aarnish Rakesh</t>
  </si>
  <si>
    <t>A22833305</t>
  </si>
  <si>
    <t>Parekh</t>
  </si>
  <si>
    <t>Mihheir Mehul</t>
  </si>
  <si>
    <t>A22833903</t>
  </si>
  <si>
    <t>Yesha Hitesh</t>
  </si>
  <si>
    <t>A23176635</t>
  </si>
  <si>
    <t>Patel</t>
  </si>
  <si>
    <t>Devansh Naresh</t>
  </si>
  <si>
    <t>A17906526</t>
  </si>
  <si>
    <t>Perez-Rodriguez</t>
  </si>
  <si>
    <t>Amado</t>
  </si>
  <si>
    <t>A23214829</t>
  </si>
  <si>
    <t>Rettinger</t>
  </si>
  <si>
    <t>Matthew</t>
  </si>
  <si>
    <t>A23214725</t>
  </si>
  <si>
    <t>Reynaldy</t>
  </si>
  <si>
    <t>Felicia Yvonne</t>
  </si>
  <si>
    <t>A18110444</t>
  </si>
  <si>
    <t>Sall</t>
  </si>
  <si>
    <t>Mohamed</t>
  </si>
  <si>
    <t>A18022265</t>
  </si>
  <si>
    <t>Son</t>
  </si>
  <si>
    <t>Gyuhyun</t>
  </si>
  <si>
    <t>A23147970</t>
  </si>
  <si>
    <t>Soysal</t>
  </si>
  <si>
    <t>Ibrahim</t>
  </si>
  <si>
    <t>A22773414</t>
  </si>
  <si>
    <t>Tanwar</t>
  </si>
  <si>
    <t>Mayank</t>
  </si>
  <si>
    <t>A19100706</t>
  </si>
  <si>
    <t>Zaccardi</t>
  </si>
  <si>
    <t>Isabella</t>
  </si>
  <si>
    <t>A23286849</t>
  </si>
  <si>
    <t>Roth</t>
  </si>
  <si>
    <t>Caroline</t>
  </si>
  <si>
    <t>Procter &amp; Gamble Company</t>
  </si>
  <si>
    <t>USE 5 year AVERAGE WHERE APPROPRIATE</t>
  </si>
  <si>
    <t>Income Statement</t>
  </si>
  <si>
    <t>Jun '20</t>
  </si>
  <si>
    <t>Jun '21</t>
  </si>
  <si>
    <t>Jun '22</t>
  </si>
  <si>
    <t>Jun '23</t>
  </si>
  <si>
    <t>Jun '24</t>
  </si>
  <si>
    <t>Jun '25</t>
  </si>
  <si>
    <t>Next FY</t>
  </si>
  <si>
    <t>Sales/Revenue</t>
  </si>
  <si>
    <t>Cost of Good Sold (Excluding D&amp;A)</t>
  </si>
  <si>
    <t>Gross Income</t>
  </si>
  <si>
    <t>SG&amp;A Expense</t>
  </si>
  <si>
    <t>EBITDA</t>
  </si>
  <si>
    <t>Depreciation &amp; Amortization</t>
  </si>
  <si>
    <t>EBIT</t>
  </si>
  <si>
    <t>Interest Expense</t>
  </si>
  <si>
    <t>Others &amp; Unusual Expense</t>
  </si>
  <si>
    <t>Pretax Income</t>
  </si>
  <si>
    <t>Income Taxes</t>
  </si>
  <si>
    <t>Net Income</t>
  </si>
  <si>
    <t>Balance Sheet</t>
  </si>
  <si>
    <t>Cash &amp; Equivalents (Cash &amp; ST Investments)</t>
  </si>
  <si>
    <t>Accounts Receivable</t>
  </si>
  <si>
    <t>Inventories</t>
  </si>
  <si>
    <t>Other Current Assets</t>
  </si>
  <si>
    <t>Net PP&amp;E</t>
  </si>
  <si>
    <t>Intangibles</t>
  </si>
  <si>
    <t>Other Assets</t>
  </si>
  <si>
    <t>Total Assets</t>
  </si>
  <si>
    <t>Short Term Debt</t>
  </si>
  <si>
    <t>Accounts Payable</t>
  </si>
  <si>
    <t>Other Current Liabilities</t>
  </si>
  <si>
    <t>Long Term Debt</t>
  </si>
  <si>
    <t>Other Long Term Liabilities</t>
  </si>
  <si>
    <t>Total Liabilities</t>
  </si>
  <si>
    <t>Preferred Stock</t>
  </si>
  <si>
    <t>Stockholder's Equity</t>
  </si>
  <si>
    <t>Total Liab. &amp; Equity</t>
  </si>
  <si>
    <t>Common Shares Outstanding</t>
  </si>
  <si>
    <t>Check</t>
  </si>
  <si>
    <t>Cash Conversion Cycle (Days)</t>
  </si>
  <si>
    <t>Days of Sales Outstanding</t>
  </si>
  <si>
    <t>Days of Inventory on Hand</t>
  </si>
  <si>
    <t>Days of Payables Outstanding</t>
  </si>
  <si>
    <t>Cash Flow Statement</t>
  </si>
  <si>
    <t>Funds from Operations</t>
  </si>
  <si>
    <t>Net Cash Flow - Operating</t>
  </si>
  <si>
    <t xml:space="preserve">  Capital Expenditures</t>
  </si>
  <si>
    <t>Net Cash Flow - Investing</t>
  </si>
  <si>
    <t xml:space="preserve">  Cash Dividends</t>
  </si>
  <si>
    <t>Net Cash Flow - Financing</t>
  </si>
  <si>
    <t>± in Cash &amp; ST Invests.</t>
  </si>
  <si>
    <t>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</si>
</sst>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#,##0.000;[Red]\-#,##0.000"/>
    <numFmt numFmtId="166" formatCode="#,##0.0"/>
  </numFmts>
  <fonts count="16"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3" tint="-0.249977111117893"/>
      <name val="Times New Roman"/>
      <family val="1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b/>
      <sz val="12"/>
      <name val="Arial"/>
      <family val="2"/>
    </font>
    <font>
      <sz val="11"/>
      <name val="Sabon"/>
      <family val="1"/>
    </font>
    <font>
      <sz val="10"/>
      <color rgb="FFFF000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FF6FB"/>
        <bgColor indexed="64"/>
      </patternFill>
    </fill>
  </fills>
  <borders count="8">
    <border>
      <left/>
      <right/>
      <top/>
      <bottom/>
      <diagonal/>
    </border>
    <border>
      <left style="thick">
        <color indexed="9"/>
      </left>
      <right/>
      <top style="thick">
        <color indexed="9"/>
      </top>
      <bottom style="thick">
        <color indexed="9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ck">
        <color theme="0"/>
      </left>
      <right/>
      <top/>
      <bottom/>
      <diagonal/>
    </border>
  </borders>
  <cellStyleXfs count="5">
    <xf numFmtId="0" fontId="0" fillId="0" borderId="0"/>
    <xf numFmtId="43" fontId="1" fillId="0" borderId="0"/>
    <xf numFmtId="9" fontId="1" fillId="0" borderId="0"/>
    <xf numFmtId="0" fontId="12" fillId="5" borderId="0"/>
    <xf numFmtId="0" fontId="11" fillId="0" borderId="0"/>
  </cellStyleXfs>
  <cellXfs count="5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top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4" fontId="1" fillId="3" borderId="3" xfId="1" applyNumberFormat="1" applyFill="1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10" fontId="1" fillId="3" borderId="3" xfId="2" applyNumberFormat="1" applyFill="1" applyBorder="1"/>
    <xf numFmtId="43" fontId="1" fillId="3" borderId="3" xfId="1" applyFill="1" applyBorder="1"/>
    <xf numFmtId="43" fontId="0" fillId="0" borderId="0" xfId="1" applyFont="1"/>
    <xf numFmtId="43" fontId="0" fillId="0" borderId="0" xfId="0" applyNumberFormat="1"/>
    <xf numFmtId="2" fontId="6" fillId="0" borderId="0" xfId="0" applyNumberFormat="1" applyFont="1"/>
    <xf numFmtId="0" fontId="8" fillId="0" borderId="0" xfId="0" applyFont="1"/>
    <xf numFmtId="2" fontId="9" fillId="0" borderId="0" xfId="0" applyNumberFormat="1" applyFont="1"/>
    <xf numFmtId="0" fontId="1" fillId="0" borderId="0" xfId="0" applyFont="1" applyAlignment="1">
      <alignment horizontal="left" indent="1"/>
    </xf>
    <xf numFmtId="43" fontId="9" fillId="0" borderId="0" xfId="1" applyFont="1"/>
    <xf numFmtId="0" fontId="2" fillId="0" borderId="0" xfId="0" applyFont="1"/>
    <xf numFmtId="2" fontId="10" fillId="0" borderId="0" xfId="0" applyNumberFormat="1" applyFo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1" fillId="0" borderId="0" xfId="1" applyNumberFormat="1"/>
    <xf numFmtId="3" fontId="11" fillId="0" borderId="0" xfId="1" applyNumberFormat="1" applyFont="1"/>
    <xf numFmtId="0" fontId="8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left" indent="2"/>
    </xf>
    <xf numFmtId="3" fontId="8" fillId="4" borderId="0" xfId="1" applyNumberFormat="1" applyFont="1" applyFill="1"/>
    <xf numFmtId="10" fontId="8" fillId="0" borderId="0" xfId="2" applyNumberFormat="1" applyFont="1" applyAlignment="1">
      <alignment horizontal="center" vertical="center"/>
    </xf>
    <xf numFmtId="3" fontId="1" fillId="0" borderId="5" xfId="0" applyNumberFormat="1" applyFont="1" applyBorder="1"/>
    <xf numFmtId="3" fontId="8" fillId="4" borderId="5" xfId="0" applyNumberFormat="1" applyFont="1" applyFill="1" applyBorder="1"/>
    <xf numFmtId="0" fontId="1" fillId="0" borderId="0" xfId="0" applyFont="1" applyAlignment="1">
      <alignment horizontal="left" indent="2"/>
    </xf>
    <xf numFmtId="3" fontId="1" fillId="0" borderId="6" xfId="0" applyNumberFormat="1" applyFont="1" applyBorder="1"/>
    <xf numFmtId="3" fontId="8" fillId="4" borderId="6" xfId="0" applyNumberFormat="1" applyFont="1" applyFill="1" applyBorder="1"/>
    <xf numFmtId="3" fontId="1" fillId="0" borderId="0" xfId="0" applyNumberFormat="1" applyFont="1"/>
    <xf numFmtId="3" fontId="8" fillId="0" borderId="0" xfId="0" applyNumberFormat="1" applyFont="1"/>
    <xf numFmtId="49" fontId="1" fillId="0" borderId="7" xfId="3" applyNumberFormat="1" applyFont="1" applyFill="1" applyBorder="1" applyAlignment="1">
      <alignment horizontal="left"/>
    </xf>
    <xf numFmtId="3" fontId="0" fillId="0" borderId="0" xfId="0" applyNumberFormat="1"/>
    <xf numFmtId="49" fontId="9" fillId="0" borderId="7" xfId="3" applyNumberFormat="1" applyFont="1" applyFill="1" applyBorder="1" applyAlignment="1">
      <alignment horizontal="left"/>
    </xf>
    <xf numFmtId="0" fontId="1" fillId="0" borderId="7" xfId="3" applyFont="1" applyFill="1" applyBorder="1" applyAlignment="1">
      <alignment horizontal="left"/>
    </xf>
    <xf numFmtId="3" fontId="1" fillId="0" borderId="5" xfId="1" applyNumberFormat="1" applyBorder="1"/>
    <xf numFmtId="0" fontId="13" fillId="0" borderId="0" xfId="0" applyFont="1"/>
    <xf numFmtId="165" fontId="14" fillId="0" borderId="0" xfId="4" applyNumberFormat="1" applyFont="1"/>
    <xf numFmtId="4" fontId="1" fillId="0" borderId="0" xfId="0" applyNumberFormat="1" applyFont="1"/>
    <xf numFmtId="4" fontId="8" fillId="4" borderId="0" xfId="0" applyNumberFormat="1" applyFont="1" applyFill="1"/>
    <xf numFmtId="2" fontId="15" fillId="0" borderId="0" xfId="4" applyNumberFormat="1" applyFont="1" applyAlignment="1">
      <alignment horizontal="left"/>
    </xf>
    <xf numFmtId="0" fontId="1" fillId="0" borderId="0" xfId="3" applyFont="1" applyFill="1"/>
    <xf numFmtId="166" fontId="1" fillId="0" borderId="0" xfId="1" applyNumberFormat="1"/>
    <xf numFmtId="166" fontId="1" fillId="0" borderId="0" xfId="0" applyNumberFormat="1" applyFont="1"/>
  </cellXfs>
  <cellStyles count="5">
    <cellStyle name="Background" xfId="3"/>
    <cellStyle name="Comma" xfId="1" builtinId="3"/>
    <cellStyle name="Normal" xfId="0" builtinId="0"/>
    <cellStyle name="Normal 3" xfId="4"/>
    <cellStyle name="Percent" xfId="2" builtinId="5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FD1048458"/>
  <sheetViews>
    <sheetView showGridLines="0" tabSelected="1" zoomScaleNormal="100" workbookViewId="0"/>
  </sheetViews>
  <sheetFormatPr defaultColWidth="8.77734375" defaultRowHeight="13.2"/>
  <cols>
    <col min="1" max="1" width="4.44140625" style="1" customWidth="1"/>
    <col min="2" max="2" width="77" style="2" customWidth="1"/>
    <col min="3" max="7" width="13.77734375" customWidth="1"/>
    <col min="8" max="8" width="13.109375" customWidth="1"/>
    <col min="9" max="9" width="21.109375" customWidth="1"/>
    <col min="10" max="10" width="16.109375" bestFit="1" customWidth="1"/>
    <col min="11" max="11" width="10.77734375" bestFit="1" customWidth="1"/>
    <col min="12" max="13" width="11.77734375" bestFit="1" customWidth="1"/>
    <col min="14" max="14" width="11.33203125" bestFit="1" customWidth="1"/>
    <col min="16" max="16" width="11.77734375" customWidth="1"/>
  </cols>
  <sheetData>
    <row r="1" spans="1:9 16378:16381" ht="50.25" customHeight="1"/>
    <row r="2" spans="1:9 16378:16381" ht="20.25" customHeight="1" thickBot="1">
      <c r="B2" s="3" t="s">
        <v>0</v>
      </c>
      <c r="C2">
        <v>5</v>
      </c>
    </row>
    <row r="3" spans="1:9 16378:16381" ht="18" customHeight="1" thickTop="1" thickBot="1">
      <c r="B3" s="4" t="s">
        <v>1</v>
      </c>
      <c r="C3" s="5" t="str">
        <f>VLOOKUP(C2,$XEX$7:$XFA$43,3,FALSE)</f>
        <v>Pudimott</v>
      </c>
      <c r="F3" s="6" t="s">
        <v>2</v>
      </c>
      <c r="G3" s="7" t="s">
        <v>3</v>
      </c>
    </row>
    <row r="4" spans="1:9 16378:16381" ht="15.75" customHeight="1" thickTop="1" thickBot="1">
      <c r="B4" s="4" t="s">
        <v>4</v>
      </c>
      <c r="C4" s="5" t="str">
        <f>VLOOKUP(C2,$XEX$7:$XFA$43,4,FALSE)</f>
        <v>Christopher</v>
      </c>
      <c r="XEY4" s="8" t="s">
        <v>3</v>
      </c>
    </row>
    <row r="5" spans="1:9 16378:16381" ht="17.25" customHeight="1" thickTop="1">
      <c r="A5" s="9" t="s">
        <v>5</v>
      </c>
      <c r="B5" s="10"/>
    </row>
    <row r="6" spans="1:9 16378:16381" ht="18.75" customHeight="1">
      <c r="A6" s="11">
        <v>1</v>
      </c>
      <c r="B6" s="12" t="s">
        <v>6</v>
      </c>
      <c r="C6" s="13">
        <f>Financials!H9</f>
        <v>40313.406099940257</v>
      </c>
      <c r="D6" s="14"/>
      <c r="E6" s="14"/>
      <c r="F6" s="14"/>
      <c r="G6" s="14"/>
      <c r="H6" s="14"/>
    </row>
    <row r="7" spans="1:9 16378:16381" ht="18.75" customHeight="1">
      <c r="A7" s="11">
        <v>2</v>
      </c>
      <c r="B7" s="12" t="s">
        <v>7</v>
      </c>
      <c r="C7" s="13">
        <f>Financials!H11</f>
        <v>22947.25350493897</v>
      </c>
      <c r="D7" s="14"/>
      <c r="E7" s="14"/>
      <c r="F7" s="14"/>
      <c r="G7" s="14"/>
      <c r="H7" s="14"/>
      <c r="I7" s="15"/>
      <c r="XEX7">
        <v>1</v>
      </c>
      <c r="XEZ7" s="16" t="s">
        <v>8</v>
      </c>
      <c r="XFA7" s="16" t="s">
        <v>8</v>
      </c>
    </row>
    <row r="8" spans="1:9 16378:16381" ht="18.75" customHeight="1">
      <c r="A8" s="11">
        <v>3</v>
      </c>
      <c r="B8" s="12" t="s">
        <v>9</v>
      </c>
      <c r="C8" s="13">
        <f>Financials!H13</f>
        <v>2985.5565285817179</v>
      </c>
      <c r="D8" s="14"/>
      <c r="E8" s="14"/>
      <c r="F8" s="14"/>
      <c r="G8" s="14"/>
      <c r="H8" s="14"/>
      <c r="XEX8">
        <v>2</v>
      </c>
      <c r="XEY8" t="s">
        <v>10</v>
      </c>
      <c r="XEZ8" t="s">
        <v>11</v>
      </c>
      <c r="XFA8" t="s">
        <v>12</v>
      </c>
    </row>
    <row r="9" spans="1:9 16378:16381" ht="18.75" customHeight="1">
      <c r="A9" s="11">
        <v>4</v>
      </c>
      <c r="B9" s="12" t="s">
        <v>13</v>
      </c>
      <c r="C9" s="13">
        <f>Financials!H24</f>
        <v>5876.9704120838041</v>
      </c>
      <c r="D9" s="14"/>
      <c r="E9" s="14"/>
      <c r="F9" s="14"/>
      <c r="G9" s="14"/>
      <c r="H9" s="14"/>
      <c r="XEX9">
        <v>3</v>
      </c>
      <c r="XEY9" t="s">
        <v>14</v>
      </c>
      <c r="XEZ9" t="s">
        <v>15</v>
      </c>
      <c r="XFA9" t="s">
        <v>16</v>
      </c>
    </row>
    <row r="10" spans="1:9 16378:16381" ht="18.75" customHeight="1">
      <c r="A10" s="11">
        <v>5</v>
      </c>
      <c r="B10" s="12" t="s">
        <v>17</v>
      </c>
      <c r="C10" s="13">
        <f>Financials!H25</f>
        <v>7359.3874427559349</v>
      </c>
      <c r="D10" s="14"/>
      <c r="E10" s="14"/>
      <c r="F10" s="14"/>
      <c r="G10" s="14"/>
      <c r="H10" s="14"/>
      <c r="XEX10">
        <v>4</v>
      </c>
      <c r="XEY10" t="s">
        <v>18</v>
      </c>
      <c r="XEZ10" t="s">
        <v>19</v>
      </c>
      <c r="XFA10" t="s">
        <v>20</v>
      </c>
    </row>
    <row r="11" spans="1:9 16378:16381" ht="18.75" customHeight="1">
      <c r="A11" s="11">
        <v>6</v>
      </c>
      <c r="B11" s="12" t="s">
        <v>21</v>
      </c>
      <c r="C11" s="13">
        <f>Financials!H33</f>
        <v>15747.270072163239</v>
      </c>
      <c r="D11" s="14"/>
      <c r="E11" s="14"/>
      <c r="F11" s="14"/>
      <c r="G11" s="14"/>
      <c r="H11" s="14"/>
      <c r="XEX11">
        <v>5</v>
      </c>
      <c r="XEY11" t="s">
        <v>22</v>
      </c>
      <c r="XEZ11" t="s">
        <v>23</v>
      </c>
      <c r="XFA11" t="s">
        <v>24</v>
      </c>
    </row>
    <row r="12" spans="1:9 16378:16381" ht="18.75" customHeight="1">
      <c r="A12" s="11">
        <v>7</v>
      </c>
      <c r="B12" s="12" t="s">
        <v>25</v>
      </c>
      <c r="C12" s="13">
        <f>-Financials!H54</f>
        <v>3424.624195461286</v>
      </c>
      <c r="D12" s="14"/>
      <c r="E12" s="14"/>
      <c r="F12" s="14"/>
      <c r="G12" s="14"/>
      <c r="H12" s="14"/>
      <c r="XEX12">
        <v>6</v>
      </c>
      <c r="XEY12" t="s">
        <v>26</v>
      </c>
      <c r="XEZ12" t="s">
        <v>27</v>
      </c>
      <c r="XFA12" t="s">
        <v>28</v>
      </c>
    </row>
    <row r="13" spans="1:9 16378:16381" ht="18.75" customHeight="1">
      <c r="A13" s="11">
        <v>8</v>
      </c>
      <c r="B13" s="12" t="s">
        <v>29</v>
      </c>
      <c r="C13" s="13">
        <f>Financials!H52</f>
        <v>18744.477140073341</v>
      </c>
      <c r="D13" s="14"/>
      <c r="E13" s="14"/>
      <c r="F13" s="14"/>
      <c r="G13" s="14"/>
      <c r="H13" s="14"/>
      <c r="XEX13">
        <v>7</v>
      </c>
      <c r="XEY13" t="s">
        <v>30</v>
      </c>
      <c r="XEZ13" t="s">
        <v>31</v>
      </c>
      <c r="XFA13" t="s">
        <v>32</v>
      </c>
    </row>
    <row r="14" spans="1:9 16378:16381" ht="18.75" customHeight="1">
      <c r="A14" s="11">
        <v>9</v>
      </c>
      <c r="B14" s="12" t="s">
        <v>33</v>
      </c>
      <c r="C14" s="13">
        <f>-Financials!H56</f>
        <v>9504.4146004854138</v>
      </c>
      <c r="D14" s="14"/>
      <c r="E14" s="14"/>
      <c r="F14" s="14"/>
      <c r="G14" s="14"/>
      <c r="H14" s="14"/>
      <c r="XEX14">
        <v>8</v>
      </c>
      <c r="XEY14" t="s">
        <v>34</v>
      </c>
      <c r="XEZ14" t="s">
        <v>35</v>
      </c>
      <c r="XFA14" t="s">
        <v>36</v>
      </c>
    </row>
    <row r="15" spans="1:9 16378:16381" ht="18.75" customHeight="1">
      <c r="A15" s="11">
        <v>10</v>
      </c>
      <c r="B15" s="12" t="s">
        <v>37</v>
      </c>
      <c r="C15" s="17">
        <f>(Financials!H32+Financials!H35)/Financials!H39</f>
        <v>0.6189941582821531</v>
      </c>
      <c r="D15" s="14"/>
      <c r="E15" s="14"/>
      <c r="F15" s="14"/>
      <c r="G15" s="14"/>
      <c r="H15" s="14"/>
      <c r="XEX15">
        <v>9</v>
      </c>
      <c r="XEY15" t="s">
        <v>38</v>
      </c>
      <c r="XEZ15" t="s">
        <v>39</v>
      </c>
      <c r="XFA15" t="s">
        <v>40</v>
      </c>
    </row>
    <row r="16" spans="1:9 16378:16381" ht="18.75" customHeight="1">
      <c r="A16" s="11">
        <v>11</v>
      </c>
      <c r="B16" s="12" t="s">
        <v>41</v>
      </c>
      <c r="C16" s="18">
        <f>Financials!H14/Financials!H15</f>
        <v>19.793243323510239</v>
      </c>
      <c r="D16" s="14"/>
      <c r="E16" s="14"/>
      <c r="F16" s="14"/>
      <c r="G16" s="14"/>
      <c r="H16" s="14"/>
      <c r="XEX16">
        <v>10</v>
      </c>
      <c r="XEY16" t="s">
        <v>42</v>
      </c>
      <c r="XEZ16" t="s">
        <v>43</v>
      </c>
      <c r="XFA16" t="s">
        <v>44</v>
      </c>
    </row>
    <row r="17" spans="1:8 16378:16381" ht="18.75" customHeight="1">
      <c r="A17" s="11">
        <v>12</v>
      </c>
      <c r="B17" s="12" t="s">
        <v>45</v>
      </c>
      <c r="C17" s="18">
        <f>(Financials!H23+Financials!H24+Financials!H25+Financials!H26)/(Financials!H32+Financials!H33+Financials!H34)</f>
        <v>0.6805231030808998</v>
      </c>
      <c r="D17" s="14"/>
      <c r="E17" s="14"/>
      <c r="F17" s="14"/>
      <c r="G17" s="14"/>
      <c r="H17" s="14"/>
      <c r="XEX17">
        <v>11</v>
      </c>
      <c r="XEY17" t="s">
        <v>46</v>
      </c>
      <c r="XEZ17" t="s">
        <v>47</v>
      </c>
      <c r="XFA17" t="s">
        <v>48</v>
      </c>
    </row>
    <row r="18" spans="1:8 16378:16381" ht="18.75" customHeight="1">
      <c r="A18" s="11">
        <v>13</v>
      </c>
      <c r="B18" s="12" t="s">
        <v>49</v>
      </c>
      <c r="C18" s="17">
        <f>Financials!H19/Financials!H30</f>
        <v>0.12589971035145195</v>
      </c>
      <c r="D18" s="14"/>
      <c r="E18" s="14"/>
      <c r="F18" s="14"/>
      <c r="G18" s="14"/>
      <c r="H18" s="14"/>
      <c r="XEX18">
        <v>12</v>
      </c>
      <c r="XEY18" t="s">
        <v>50</v>
      </c>
      <c r="XEZ18" t="s">
        <v>51</v>
      </c>
      <c r="XFA18" t="s">
        <v>52</v>
      </c>
    </row>
    <row r="19" spans="1:8 16378:16381" ht="18.75" customHeight="1">
      <c r="A19" s="11">
        <v>14</v>
      </c>
      <c r="B19" s="12" t="s">
        <v>53</v>
      </c>
      <c r="C19" s="17">
        <f>Financials!H19/Financials!H39</f>
        <v>0.2750586453684169</v>
      </c>
      <c r="D19" s="14"/>
      <c r="E19" s="14"/>
      <c r="F19" s="14"/>
      <c r="G19" s="14"/>
      <c r="H19" s="14"/>
      <c r="XEX19">
        <v>13</v>
      </c>
      <c r="XEY19" t="s">
        <v>54</v>
      </c>
      <c r="XEZ19" t="s">
        <v>55</v>
      </c>
      <c r="XFA19" t="s">
        <v>56</v>
      </c>
    </row>
    <row r="20" spans="1:8 16378:16381" ht="18.75" customHeight="1">
      <c r="A20" s="11">
        <v>15</v>
      </c>
      <c r="B20" s="12" t="s">
        <v>57</v>
      </c>
      <c r="C20" s="18">
        <f>(Financials!H23+Financials!H24+Financials!H26)/(Financials!H32+Financials!H33+Financials!H34)</f>
        <v>0.47932749081610415</v>
      </c>
      <c r="D20" s="14"/>
      <c r="E20" s="14"/>
      <c r="F20" s="14"/>
      <c r="G20" s="14"/>
      <c r="H20" s="14"/>
      <c r="XEX20">
        <v>14</v>
      </c>
      <c r="XEY20" t="s">
        <v>58</v>
      </c>
      <c r="XEZ20" t="s">
        <v>59</v>
      </c>
      <c r="XFA20" t="s">
        <v>60</v>
      </c>
    </row>
    <row r="21" spans="1:8 16378:16381" ht="18.75" customHeight="1">
      <c r="A21" s="11">
        <v>16</v>
      </c>
      <c r="B21" s="12" t="s">
        <v>61</v>
      </c>
      <c r="C21" s="17">
        <f>(Financials!H14*(1-Financials!H18/Financials!H17))/(Financials!H32+Financials!H35+Financials!H39)</f>
        <v>0.17752482754606705</v>
      </c>
      <c r="D21" s="14"/>
      <c r="E21" s="14"/>
      <c r="F21" s="14"/>
      <c r="G21" s="14"/>
      <c r="H21" s="14"/>
      <c r="XEX21">
        <v>15</v>
      </c>
      <c r="XEY21" t="s">
        <v>62</v>
      </c>
      <c r="XEZ21" t="s">
        <v>63</v>
      </c>
      <c r="XFA21" t="s">
        <v>64</v>
      </c>
    </row>
    <row r="22" spans="1:8 16378:16381" ht="18.75" customHeight="1">
      <c r="A22" s="11">
        <v>17</v>
      </c>
      <c r="B22" s="12" t="s">
        <v>65</v>
      </c>
      <c r="C22" s="18">
        <f>(Financials!H19/Financials!H42)*30</f>
        <v>192.62044424085272</v>
      </c>
      <c r="D22" s="14"/>
      <c r="E22" s="14"/>
      <c r="F22" s="14"/>
      <c r="G22" s="14"/>
      <c r="H22" s="14"/>
      <c r="XEX22">
        <v>16</v>
      </c>
      <c r="XEY22" t="s">
        <v>66</v>
      </c>
      <c r="XEZ22" t="s">
        <v>67</v>
      </c>
      <c r="XFA22" t="s">
        <v>68</v>
      </c>
    </row>
    <row r="23" spans="1:8 16378:16381" ht="18.75" customHeight="1">
      <c r="A23" s="11">
        <v>18</v>
      </c>
      <c r="B23" s="12" t="s">
        <v>69</v>
      </c>
      <c r="C23" s="18">
        <f>(Financials!H19/Financials!H42)*20</f>
        <v>128.41362949390179</v>
      </c>
      <c r="D23" s="14"/>
      <c r="E23" s="14"/>
      <c r="F23" s="14"/>
      <c r="G23" s="14"/>
      <c r="H23" s="14"/>
      <c r="XEX23">
        <v>17</v>
      </c>
      <c r="XEY23" t="s">
        <v>70</v>
      </c>
      <c r="XEZ23" t="s">
        <v>71</v>
      </c>
      <c r="XFA23" t="s">
        <v>72</v>
      </c>
    </row>
    <row r="24" spans="1:8 16378:16381" ht="18.75" customHeight="1">
      <c r="A24" s="11">
        <v>19</v>
      </c>
      <c r="B24" s="12" t="s">
        <v>73</v>
      </c>
      <c r="C24" s="17">
        <f>(C22-165.55)/165.55</f>
        <v>0.16351823763728607</v>
      </c>
      <c r="D24" s="14"/>
      <c r="E24" s="14"/>
      <c r="F24" s="14"/>
      <c r="G24" s="14"/>
      <c r="H24" s="14"/>
      <c r="XEX24">
        <v>18</v>
      </c>
      <c r="XEY24" t="s">
        <v>74</v>
      </c>
      <c r="XEZ24" t="s">
        <v>75</v>
      </c>
      <c r="XFA24" t="s">
        <v>76</v>
      </c>
    </row>
    <row r="25" spans="1:8 16378:16381" ht="18.75" customHeight="1">
      <c r="A25" s="11">
        <v>20</v>
      </c>
      <c r="B25" s="12" t="s">
        <v>77</v>
      </c>
      <c r="C25" s="17">
        <f>(C23-165.55)/165.55</f>
        <v>-0.22432117490847608</v>
      </c>
      <c r="D25" s="14"/>
      <c r="E25" s="14"/>
      <c r="F25" s="14"/>
      <c r="G25" s="14"/>
      <c r="H25" s="14"/>
      <c r="XEX25">
        <v>19</v>
      </c>
      <c r="XEY25" t="s">
        <v>78</v>
      </c>
      <c r="XEZ25" t="s">
        <v>79</v>
      </c>
      <c r="XFA25" t="s">
        <v>80</v>
      </c>
    </row>
    <row r="26" spans="1:8 16378:16381">
      <c r="XEX26">
        <v>20</v>
      </c>
      <c r="XEY26" t="s">
        <v>81</v>
      </c>
      <c r="XEZ26" t="s">
        <v>82</v>
      </c>
      <c r="XFA26" t="s">
        <v>83</v>
      </c>
    </row>
    <row r="27" spans="1:8 16378:16381">
      <c r="XEX27">
        <v>21</v>
      </c>
      <c r="XEY27" t="s">
        <v>84</v>
      </c>
      <c r="XEZ27" t="s">
        <v>85</v>
      </c>
      <c r="XFA27" t="s">
        <v>86</v>
      </c>
    </row>
    <row r="28" spans="1:8 16378:16381">
      <c r="XEX28">
        <v>22</v>
      </c>
      <c r="XEY28" t="s">
        <v>87</v>
      </c>
      <c r="XEZ28" t="s">
        <v>88</v>
      </c>
      <c r="XFA28" t="s">
        <v>89</v>
      </c>
    </row>
    <row r="29" spans="1:8 16378:16381">
      <c r="XEX29">
        <v>23</v>
      </c>
      <c r="XEY29" t="s">
        <v>90</v>
      </c>
      <c r="XEZ29" t="s">
        <v>91</v>
      </c>
      <c r="XFA29" t="s">
        <v>92</v>
      </c>
    </row>
    <row r="30" spans="1:8 16378:16381">
      <c r="XEX30">
        <v>24</v>
      </c>
      <c r="XEY30" t="s">
        <v>93</v>
      </c>
      <c r="XEZ30" t="s">
        <v>94</v>
      </c>
      <c r="XFA30" t="s">
        <v>95</v>
      </c>
    </row>
    <row r="31" spans="1:8 16378:16381">
      <c r="XEX31">
        <v>25</v>
      </c>
      <c r="XEY31" t="s">
        <v>96</v>
      </c>
      <c r="XEZ31" t="s">
        <v>97</v>
      </c>
      <c r="XFA31" t="s">
        <v>98</v>
      </c>
    </row>
    <row r="32" spans="1:8 16378:16381">
      <c r="XEX32">
        <v>26</v>
      </c>
      <c r="XEY32" t="s">
        <v>99</v>
      </c>
      <c r="XEZ32" t="s">
        <v>100</v>
      </c>
      <c r="XFA32" t="s">
        <v>101</v>
      </c>
    </row>
    <row r="33" spans="16378:16381">
      <c r="XEX33">
        <v>27</v>
      </c>
      <c r="XEY33" t="s">
        <v>102</v>
      </c>
      <c r="XEZ33" t="s">
        <v>100</v>
      </c>
      <c r="XFA33" t="s">
        <v>103</v>
      </c>
    </row>
    <row r="34" spans="16378:16381">
      <c r="XEX34">
        <v>28</v>
      </c>
      <c r="XEY34" t="s">
        <v>104</v>
      </c>
      <c r="XEZ34" t="s">
        <v>105</v>
      </c>
      <c r="XFA34" t="s">
        <v>106</v>
      </c>
    </row>
    <row r="35" spans="16378:16381">
      <c r="XEX35">
        <v>29</v>
      </c>
      <c r="XEY35" t="s">
        <v>107</v>
      </c>
      <c r="XEZ35" t="s">
        <v>108</v>
      </c>
      <c r="XFA35" t="s">
        <v>109</v>
      </c>
    </row>
    <row r="36" spans="16378:16381">
      <c r="XEX36">
        <v>30</v>
      </c>
      <c r="XEY36" t="s">
        <v>110</v>
      </c>
      <c r="XEZ36" t="s">
        <v>111</v>
      </c>
      <c r="XFA36" t="s">
        <v>112</v>
      </c>
    </row>
    <row r="37" spans="16378:16381">
      <c r="XEX37">
        <v>31</v>
      </c>
      <c r="XEY37" t="s">
        <v>113</v>
      </c>
      <c r="XEZ37" t="s">
        <v>114</v>
      </c>
      <c r="XFA37" t="s">
        <v>115</v>
      </c>
    </row>
    <row r="38" spans="16378:16381">
      <c r="XEX38">
        <v>32</v>
      </c>
      <c r="XEY38" t="s">
        <v>116</v>
      </c>
      <c r="XEZ38" t="s">
        <v>117</v>
      </c>
      <c r="XFA38" t="s">
        <v>118</v>
      </c>
    </row>
    <row r="39" spans="16378:16381">
      <c r="XEX39">
        <v>33</v>
      </c>
      <c r="XEY39" t="s">
        <v>119</v>
      </c>
      <c r="XEZ39" t="s">
        <v>120</v>
      </c>
      <c r="XFA39" t="s">
        <v>121</v>
      </c>
    </row>
    <row r="40" spans="16378:16381">
      <c r="XEX40">
        <v>34</v>
      </c>
      <c r="XEY40" t="s">
        <v>122</v>
      </c>
      <c r="XEZ40" t="s">
        <v>123</v>
      </c>
      <c r="XFA40" t="s">
        <v>124</v>
      </c>
    </row>
    <row r="41" spans="16378:16381">
      <c r="XEX41">
        <v>35</v>
      </c>
      <c r="XEY41" t="s">
        <v>125</v>
      </c>
      <c r="XEZ41" t="s">
        <v>126</v>
      </c>
      <c r="XFA41" t="s">
        <v>127</v>
      </c>
    </row>
    <row r="42" spans="16378:16381">
      <c r="XEX42">
        <v>36</v>
      </c>
      <c r="XEY42" t="s">
        <v>128</v>
      </c>
      <c r="XEZ42" t="s">
        <v>129</v>
      </c>
      <c r="XFA42" t="s">
        <v>130</v>
      </c>
    </row>
    <row r="43" spans="16378:16381">
      <c r="XEX43">
        <v>37</v>
      </c>
      <c r="XEY43" t="s">
        <v>131</v>
      </c>
      <c r="XEZ43" t="s">
        <v>132</v>
      </c>
      <c r="XFA43" t="s">
        <v>133</v>
      </c>
    </row>
    <row r="53" spans="16:16">
      <c r="P53" s="19"/>
    </row>
    <row r="54" spans="16:16">
      <c r="P54" s="20"/>
    </row>
    <row r="55" spans="16:16">
      <c r="P55" s="20"/>
    </row>
    <row r="56" spans="16:16">
      <c r="P56" s="20"/>
    </row>
    <row r="57" spans="16:16">
      <c r="P57" s="20"/>
    </row>
    <row r="81" ht="12.75" customHeight="1"/>
    <row r="1048458" spans="16384:16384">
      <c r="XFD1048458" s="8"/>
    </row>
  </sheetData>
  <pageMargins left="0.75" right="0.75" top="1" bottom="1" header="0.5" footer="0.5"/>
  <pageSetup scale="54" fitToHeight="6" orientation="portrait" horizontalDpi="4294967293"/>
  <rowBreaks count="1" manualBreakCount="1">
    <brk id="84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59"/>
  <sheetViews>
    <sheetView workbookViewId="0"/>
  </sheetViews>
  <sheetFormatPr defaultColWidth="8.77734375" defaultRowHeight="13.2"/>
  <cols>
    <col min="1" max="1" width="41.77734375" style="16" customWidth="1"/>
    <col min="2" max="7" width="12.44140625" style="16" customWidth="1"/>
    <col min="8" max="8" width="12.44140625" style="22" customWidth="1"/>
  </cols>
  <sheetData>
    <row r="1" spans="1:16" ht="16.05" customHeight="1">
      <c r="A1" s="21" t="s">
        <v>134</v>
      </c>
    </row>
    <row r="2" spans="1:16" ht="16.05" customHeight="1">
      <c r="A2" s="21"/>
    </row>
    <row r="3" spans="1:16">
      <c r="A3" s="23"/>
    </row>
    <row r="4" spans="1:16">
      <c r="A4" s="24"/>
      <c r="B4" s="25"/>
      <c r="E4" s="26" t="s">
        <v>135</v>
      </c>
    </row>
    <row r="5" spans="1:16">
      <c r="A5" s="24"/>
      <c r="B5" s="25"/>
    </row>
    <row r="7" spans="1:16">
      <c r="A7" s="27" t="s">
        <v>136</v>
      </c>
      <c r="B7" s="28" t="s">
        <v>137</v>
      </c>
      <c r="C7" s="28" t="s">
        <v>138</v>
      </c>
      <c r="D7" s="28" t="s">
        <v>139</v>
      </c>
      <c r="E7" s="28" t="s">
        <v>140</v>
      </c>
      <c r="F7" s="28" t="s">
        <v>141</v>
      </c>
      <c r="G7" s="28" t="s">
        <v>142</v>
      </c>
      <c r="H7" s="29" t="s">
        <v>143</v>
      </c>
    </row>
    <row r="8" spans="1:16">
      <c r="A8" s="23" t="s">
        <v>144</v>
      </c>
      <c r="B8" s="30">
        <v>70950</v>
      </c>
      <c r="C8" s="30">
        <v>76118</v>
      </c>
      <c r="D8" s="30">
        <v>80187</v>
      </c>
      <c r="E8" s="30">
        <v>82006</v>
      </c>
      <c r="F8" s="30">
        <v>84039</v>
      </c>
      <c r="G8" s="30">
        <v>84284</v>
      </c>
      <c r="H8" s="31">
        <v>86653.05</v>
      </c>
      <c r="J8" s="32"/>
      <c r="K8" s="32"/>
      <c r="L8" s="32"/>
      <c r="M8" s="32"/>
      <c r="N8" s="32"/>
      <c r="O8" s="32"/>
      <c r="P8" s="32"/>
    </row>
    <row r="9" spans="1:16" ht="13.95" customHeight="1" thickBot="1">
      <c r="A9" s="33" t="s">
        <v>145</v>
      </c>
      <c r="B9" s="30">
        <v>31623</v>
      </c>
      <c r="C9" s="30">
        <v>34239</v>
      </c>
      <c r="D9" s="30">
        <v>39168</v>
      </c>
      <c r="E9" s="30">
        <v>39886</v>
      </c>
      <c r="F9" s="30">
        <v>37704</v>
      </c>
      <c r="G9" s="30">
        <v>38167</v>
      </c>
      <c r="H9" s="34">
        <v>40313.406099940257</v>
      </c>
      <c r="J9" s="35"/>
      <c r="K9" s="35"/>
      <c r="L9" s="35"/>
      <c r="M9" s="35"/>
      <c r="N9" s="35"/>
      <c r="O9" s="35"/>
      <c r="P9" s="35"/>
    </row>
    <row r="10" spans="1:16">
      <c r="A10" s="23" t="s">
        <v>146</v>
      </c>
      <c r="B10" s="36">
        <v>39327</v>
      </c>
      <c r="C10" s="36">
        <v>41879</v>
      </c>
      <c r="D10" s="36">
        <v>41019</v>
      </c>
      <c r="E10" s="36">
        <v>42120</v>
      </c>
      <c r="F10" s="36">
        <v>46335</v>
      </c>
      <c r="G10" s="36">
        <v>46117</v>
      </c>
      <c r="H10" s="37">
        <v>46339.643900059753</v>
      </c>
    </row>
    <row r="11" spans="1:16" ht="13.95" customHeight="1" thickBot="1">
      <c r="A11" s="38" t="s">
        <v>147</v>
      </c>
      <c r="B11" s="30">
        <v>19922</v>
      </c>
      <c r="C11" s="30">
        <v>20552</v>
      </c>
      <c r="D11" s="30">
        <v>20299</v>
      </c>
      <c r="E11" s="30">
        <v>21049</v>
      </c>
      <c r="F11" s="30">
        <v>23241</v>
      </c>
      <c r="G11" s="30">
        <v>22564</v>
      </c>
      <c r="H11" s="34">
        <v>22947.25350493897</v>
      </c>
      <c r="J11" s="35"/>
      <c r="K11" s="35"/>
      <c r="L11" s="35"/>
      <c r="M11" s="35"/>
      <c r="N11" s="35"/>
      <c r="O11" s="35"/>
      <c r="P11" s="35"/>
    </row>
    <row r="12" spans="1:16">
      <c r="A12" s="23" t="s">
        <v>148</v>
      </c>
      <c r="B12" s="36">
        <v>19405</v>
      </c>
      <c r="C12" s="36">
        <v>21327</v>
      </c>
      <c r="D12" s="36">
        <v>20720</v>
      </c>
      <c r="E12" s="36">
        <v>21071</v>
      </c>
      <c r="F12" s="36">
        <v>23094</v>
      </c>
      <c r="G12" s="36">
        <v>23553</v>
      </c>
      <c r="H12" s="37">
        <v>23392.390395120779</v>
      </c>
    </row>
    <row r="13" spans="1:16" ht="13.95" customHeight="1" thickBot="1">
      <c r="A13" s="38" t="s">
        <v>149</v>
      </c>
      <c r="B13" s="30">
        <v>3013</v>
      </c>
      <c r="C13" s="30">
        <v>2735</v>
      </c>
      <c r="D13" s="30">
        <v>2807</v>
      </c>
      <c r="E13" s="30">
        <v>2714</v>
      </c>
      <c r="F13" s="30">
        <v>2896</v>
      </c>
      <c r="G13" s="30">
        <v>2847</v>
      </c>
      <c r="H13" s="34">
        <v>2985.5565285817179</v>
      </c>
      <c r="J13" s="35"/>
      <c r="K13" s="35"/>
      <c r="L13" s="35"/>
      <c r="M13" s="35"/>
      <c r="N13" s="35"/>
      <c r="O13" s="35"/>
      <c r="P13" s="35"/>
    </row>
    <row r="14" spans="1:16">
      <c r="A14" s="23" t="s">
        <v>150</v>
      </c>
      <c r="B14" s="36">
        <v>16392</v>
      </c>
      <c r="C14" s="36">
        <v>18592</v>
      </c>
      <c r="D14" s="36">
        <v>17913</v>
      </c>
      <c r="E14" s="36">
        <v>18357</v>
      </c>
      <c r="F14" s="36">
        <v>20198</v>
      </c>
      <c r="G14" s="36">
        <v>20706</v>
      </c>
      <c r="H14" s="37">
        <v>20406.833866539058</v>
      </c>
    </row>
    <row r="15" spans="1:16">
      <c r="A15" s="38" t="s">
        <v>151</v>
      </c>
      <c r="B15" s="30">
        <v>465</v>
      </c>
      <c r="C15" s="30">
        <v>502</v>
      </c>
      <c r="D15" s="30">
        <v>439</v>
      </c>
      <c r="E15" s="30">
        <v>615</v>
      </c>
      <c r="F15" s="30">
        <v>1045</v>
      </c>
      <c r="G15" s="30">
        <v>1031</v>
      </c>
      <c r="H15" s="34">
        <v>1031</v>
      </c>
      <c r="J15" s="35"/>
      <c r="K15" s="35"/>
      <c r="L15" s="35"/>
      <c r="M15" s="35"/>
      <c r="N15" s="35"/>
      <c r="O15" s="35"/>
      <c r="P15" s="35"/>
    </row>
    <row r="16" spans="1:16" ht="13.95" customHeight="1" thickBot="1">
      <c r="A16" s="38" t="s">
        <v>152</v>
      </c>
      <c r="B16" s="30">
        <v>93</v>
      </c>
      <c r="C16" s="30">
        <v>475</v>
      </c>
      <c r="D16" s="30">
        <v>-521</v>
      </c>
      <c r="E16" s="30">
        <v>-611</v>
      </c>
      <c r="F16" s="30">
        <v>392</v>
      </c>
      <c r="G16" s="30">
        <v>-492</v>
      </c>
      <c r="H16" s="30">
        <v>-153.90589687124299</v>
      </c>
      <c r="J16" s="35"/>
      <c r="K16" s="35"/>
      <c r="L16" s="35"/>
      <c r="M16" s="35"/>
      <c r="N16" s="35"/>
      <c r="O16" s="35"/>
      <c r="P16" s="35"/>
    </row>
    <row r="17" spans="1:16">
      <c r="A17" s="23" t="s">
        <v>153</v>
      </c>
      <c r="B17" s="36">
        <v>15834</v>
      </c>
      <c r="C17" s="36">
        <v>17615</v>
      </c>
      <c r="D17" s="36">
        <v>17995</v>
      </c>
      <c r="E17" s="36">
        <v>18353</v>
      </c>
      <c r="F17" s="36">
        <v>18761</v>
      </c>
      <c r="G17" s="36">
        <v>20167</v>
      </c>
      <c r="H17" s="37">
        <v>19529.743866539058</v>
      </c>
    </row>
    <row r="18" spans="1:16" ht="13.95" customHeight="1" thickBot="1">
      <c r="A18" s="38" t="s">
        <v>154</v>
      </c>
      <c r="B18" s="30">
        <v>2731</v>
      </c>
      <c r="C18" s="30">
        <v>3263</v>
      </c>
      <c r="D18" s="30">
        <v>3202</v>
      </c>
      <c r="E18" s="30">
        <v>3615</v>
      </c>
      <c r="F18" s="30">
        <v>3787</v>
      </c>
      <c r="G18" s="30">
        <v>4102</v>
      </c>
      <c r="H18" s="34">
        <v>3770.8232550474308</v>
      </c>
      <c r="J18" s="35"/>
      <c r="K18" s="35"/>
      <c r="L18" s="35"/>
      <c r="M18" s="35"/>
      <c r="N18" s="35"/>
      <c r="O18" s="35"/>
      <c r="P18" s="35"/>
    </row>
    <row r="19" spans="1:16" ht="13.95" customHeight="1" thickBot="1">
      <c r="A19" s="23" t="s">
        <v>155</v>
      </c>
      <c r="B19" s="39">
        <v>13103</v>
      </c>
      <c r="C19" s="39">
        <v>14352</v>
      </c>
      <c r="D19" s="39">
        <v>14793</v>
      </c>
      <c r="E19" s="39">
        <v>14738</v>
      </c>
      <c r="F19" s="39">
        <v>14974</v>
      </c>
      <c r="G19" s="39">
        <v>16065</v>
      </c>
      <c r="H19" s="40">
        <v>15758.920611491631</v>
      </c>
    </row>
    <row r="20" spans="1:16" ht="13.95" customHeight="1" thickTop="1">
      <c r="B20" s="41"/>
      <c r="C20" s="41"/>
      <c r="D20" s="41"/>
      <c r="E20" s="41"/>
      <c r="F20" s="41"/>
      <c r="G20" s="41"/>
      <c r="H20" s="42"/>
    </row>
    <row r="21" spans="1:16">
      <c r="B21" s="41"/>
      <c r="C21" s="41"/>
      <c r="D21" s="41"/>
      <c r="E21" s="41"/>
      <c r="F21" s="41"/>
      <c r="G21" s="41"/>
      <c r="H21" s="42"/>
      <c r="J21" s="35"/>
      <c r="K21" s="35"/>
      <c r="L21" s="35"/>
      <c r="M21" s="35"/>
      <c r="N21" s="35"/>
      <c r="O21" s="35"/>
      <c r="P21" s="35"/>
    </row>
    <row r="22" spans="1:16">
      <c r="A22" s="27" t="s">
        <v>156</v>
      </c>
      <c r="B22" s="41"/>
      <c r="C22" s="41"/>
      <c r="D22" s="41"/>
      <c r="E22" s="41"/>
      <c r="F22" s="41"/>
      <c r="G22" s="41"/>
      <c r="H22" s="42"/>
    </row>
    <row r="23" spans="1:16">
      <c r="A23" s="43" t="s">
        <v>157</v>
      </c>
      <c r="B23" s="30">
        <v>16181</v>
      </c>
      <c r="C23" s="30">
        <v>10288</v>
      </c>
      <c r="D23" s="30">
        <v>7214</v>
      </c>
      <c r="E23" s="30">
        <v>8246</v>
      </c>
      <c r="F23" s="30">
        <v>9482</v>
      </c>
      <c r="G23" s="30">
        <v>9556</v>
      </c>
      <c r="H23" s="34">
        <v>9556</v>
      </c>
    </row>
    <row r="24" spans="1:16">
      <c r="A24" s="43" t="s">
        <v>158</v>
      </c>
      <c r="B24" s="30">
        <v>4178</v>
      </c>
      <c r="C24" s="30">
        <v>4725</v>
      </c>
      <c r="D24" s="30">
        <v>5143</v>
      </c>
      <c r="E24" s="30">
        <v>5471</v>
      </c>
      <c r="F24" s="30">
        <v>6118</v>
      </c>
      <c r="G24" s="30">
        <v>6185</v>
      </c>
      <c r="H24" s="34">
        <v>5876.9704120838041</v>
      </c>
      <c r="J24" s="44"/>
      <c r="K24" s="44"/>
    </row>
    <row r="25" spans="1:16">
      <c r="A25" s="43" t="s">
        <v>159</v>
      </c>
      <c r="B25" s="30">
        <v>5498</v>
      </c>
      <c r="C25" s="30">
        <v>5983</v>
      </c>
      <c r="D25" s="30">
        <v>6924</v>
      </c>
      <c r="E25" s="30">
        <v>7073</v>
      </c>
      <c r="F25" s="30">
        <v>7016</v>
      </c>
      <c r="G25" s="30">
        <v>7551</v>
      </c>
      <c r="H25" s="34">
        <v>7359.3874427559349</v>
      </c>
      <c r="J25" s="44"/>
      <c r="K25" s="44"/>
    </row>
    <row r="26" spans="1:16">
      <c r="A26" s="43" t="s">
        <v>160</v>
      </c>
      <c r="B26" s="30">
        <v>2130</v>
      </c>
      <c r="C26" s="30">
        <v>2095</v>
      </c>
      <c r="D26" s="30">
        <v>2372</v>
      </c>
      <c r="E26" s="30">
        <v>1858</v>
      </c>
      <c r="F26" s="30">
        <v>2093</v>
      </c>
      <c r="G26" s="30">
        <v>2100</v>
      </c>
      <c r="H26" s="30">
        <v>2100</v>
      </c>
    </row>
    <row r="27" spans="1:16">
      <c r="A27" s="43" t="s">
        <v>161</v>
      </c>
      <c r="B27" s="30">
        <v>21542</v>
      </c>
      <c r="C27" s="30">
        <v>22494</v>
      </c>
      <c r="D27" s="30">
        <v>21955</v>
      </c>
      <c r="E27" s="30">
        <v>22690</v>
      </c>
      <c r="F27" s="30">
        <v>23027</v>
      </c>
      <c r="G27" s="30">
        <v>24822</v>
      </c>
      <c r="H27" s="30">
        <v>25261.06766687956</v>
      </c>
    </row>
    <row r="28" spans="1:16">
      <c r="A28" s="43" t="s">
        <v>162</v>
      </c>
      <c r="B28" s="30">
        <v>63693</v>
      </c>
      <c r="C28" s="30">
        <v>64566</v>
      </c>
      <c r="D28" s="30">
        <v>63379</v>
      </c>
      <c r="E28" s="30">
        <v>64442</v>
      </c>
      <c r="F28" s="30">
        <v>62350</v>
      </c>
      <c r="G28" s="30">
        <v>63560</v>
      </c>
      <c r="H28" s="30">
        <v>63560</v>
      </c>
      <c r="J28" s="44"/>
      <c r="K28" s="44"/>
    </row>
    <row r="29" spans="1:16" ht="13.95" customHeight="1" thickBot="1">
      <c r="A29" s="43" t="s">
        <v>163</v>
      </c>
      <c r="B29" s="30">
        <v>7478</v>
      </c>
      <c r="C29" s="30">
        <v>9156</v>
      </c>
      <c r="D29" s="30">
        <v>10221</v>
      </c>
      <c r="E29" s="30">
        <v>11049</v>
      </c>
      <c r="F29" s="30">
        <v>12284</v>
      </c>
      <c r="G29" s="30">
        <v>11457</v>
      </c>
      <c r="H29" s="30">
        <v>11457</v>
      </c>
    </row>
    <row r="30" spans="1:16">
      <c r="A30" s="45" t="s">
        <v>164</v>
      </c>
      <c r="B30" s="36">
        <v>120700</v>
      </c>
      <c r="C30" s="36">
        <v>119307</v>
      </c>
      <c r="D30" s="36">
        <v>117208</v>
      </c>
      <c r="E30" s="36">
        <v>120829</v>
      </c>
      <c r="F30" s="36">
        <v>122370</v>
      </c>
      <c r="G30" s="36">
        <v>125231</v>
      </c>
      <c r="H30" s="37">
        <v>125170.4278548397</v>
      </c>
    </row>
    <row r="31" spans="1:16">
      <c r="A31" s="46"/>
      <c r="B31" s="41"/>
      <c r="C31" s="41"/>
      <c r="D31" s="41"/>
      <c r="E31" s="41"/>
      <c r="F31" s="41"/>
      <c r="G31" s="41"/>
      <c r="H31" s="42"/>
    </row>
    <row r="32" spans="1:16">
      <c r="A32" s="43" t="s">
        <v>165</v>
      </c>
      <c r="B32" s="30">
        <v>11422</v>
      </c>
      <c r="C32" s="30">
        <v>9108</v>
      </c>
      <c r="D32" s="30">
        <v>8850</v>
      </c>
      <c r="E32" s="30">
        <v>10451</v>
      </c>
      <c r="F32" s="30">
        <v>7434</v>
      </c>
      <c r="G32" s="30">
        <v>9768</v>
      </c>
      <c r="H32" s="30">
        <v>9768</v>
      </c>
    </row>
    <row r="33" spans="1:8">
      <c r="A33" s="43" t="s">
        <v>166</v>
      </c>
      <c r="B33" s="30">
        <v>12071</v>
      </c>
      <c r="C33" s="30">
        <v>13720</v>
      </c>
      <c r="D33" s="30">
        <v>14882</v>
      </c>
      <c r="E33" s="30">
        <v>14598</v>
      </c>
      <c r="F33" s="30">
        <v>15364</v>
      </c>
      <c r="G33" s="30">
        <v>15227</v>
      </c>
      <c r="H33" s="34">
        <v>15747.270072163239</v>
      </c>
    </row>
    <row r="34" spans="1:8">
      <c r="A34" s="43" t="s">
        <v>167</v>
      </c>
      <c r="B34" s="30">
        <v>9483</v>
      </c>
      <c r="C34" s="30">
        <v>10304</v>
      </c>
      <c r="D34" s="30">
        <v>9349</v>
      </c>
      <c r="E34" s="30">
        <v>10707</v>
      </c>
      <c r="F34" s="30">
        <v>10829</v>
      </c>
      <c r="G34" s="30">
        <v>11063</v>
      </c>
      <c r="H34" s="30">
        <v>11063</v>
      </c>
    </row>
    <row r="35" spans="1:8">
      <c r="A35" s="43" t="s">
        <v>168</v>
      </c>
      <c r="B35" s="30">
        <v>24189</v>
      </c>
      <c r="C35" s="30">
        <v>23730</v>
      </c>
      <c r="D35" s="30">
        <v>23443</v>
      </c>
      <c r="E35" s="30">
        <v>24973</v>
      </c>
      <c r="F35" s="30">
        <v>25935</v>
      </c>
      <c r="G35" s="30">
        <v>25696</v>
      </c>
      <c r="H35" s="30">
        <v>25696</v>
      </c>
    </row>
    <row r="36" spans="1:8" ht="13.95" customHeight="1" thickBot="1">
      <c r="A36" s="43" t="s">
        <v>169</v>
      </c>
      <c r="B36" s="30">
        <v>16657</v>
      </c>
      <c r="C36" s="30">
        <v>15791</v>
      </c>
      <c r="D36" s="30">
        <v>13830</v>
      </c>
      <c r="E36" s="30">
        <v>13035</v>
      </c>
      <c r="F36" s="30">
        <v>12249</v>
      </c>
      <c r="G36" s="30">
        <v>11193</v>
      </c>
      <c r="H36" s="30">
        <v>11193</v>
      </c>
    </row>
    <row r="37" spans="1:8">
      <c r="A37" s="45" t="s">
        <v>170</v>
      </c>
      <c r="B37" s="47">
        <v>73822</v>
      </c>
      <c r="C37" s="47">
        <v>72653</v>
      </c>
      <c r="D37" s="47">
        <v>70354</v>
      </c>
      <c r="E37" s="47">
        <v>73764</v>
      </c>
      <c r="F37" s="47">
        <v>71811</v>
      </c>
      <c r="G37" s="47">
        <v>72947</v>
      </c>
      <c r="H37" s="37">
        <v>73467.270072163243</v>
      </c>
    </row>
    <row r="38" spans="1:8">
      <c r="A38" s="43" t="s">
        <v>171</v>
      </c>
      <c r="B38" s="30">
        <v>897</v>
      </c>
      <c r="C38" s="30">
        <v>870</v>
      </c>
      <c r="D38" s="30">
        <v>843</v>
      </c>
      <c r="E38" s="30">
        <v>819</v>
      </c>
      <c r="F38" s="30">
        <v>798</v>
      </c>
      <c r="G38" s="30">
        <v>777</v>
      </c>
      <c r="H38" s="30">
        <v>777</v>
      </c>
    </row>
    <row r="39" spans="1:8" ht="13.95" customHeight="1" thickBot="1">
      <c r="A39" s="43" t="s">
        <v>172</v>
      </c>
      <c r="B39" s="30">
        <v>45981</v>
      </c>
      <c r="C39" s="30">
        <v>45784</v>
      </c>
      <c r="D39" s="30">
        <v>46011</v>
      </c>
      <c r="E39" s="30">
        <v>46246</v>
      </c>
      <c r="F39" s="30">
        <v>49761</v>
      </c>
      <c r="G39" s="30">
        <v>51507</v>
      </c>
      <c r="H39" s="30">
        <v>57292.947801673137</v>
      </c>
    </row>
    <row r="40" spans="1:8">
      <c r="A40" s="45" t="s">
        <v>173</v>
      </c>
      <c r="B40" s="36">
        <v>120700</v>
      </c>
      <c r="C40" s="36">
        <v>119307</v>
      </c>
      <c r="D40" s="36">
        <v>117208</v>
      </c>
      <c r="E40" s="36">
        <v>120829</v>
      </c>
      <c r="F40" s="36">
        <v>122370</v>
      </c>
      <c r="G40" s="36">
        <v>125231</v>
      </c>
      <c r="H40" s="37">
        <v>131537.22007216321</v>
      </c>
    </row>
    <row r="41" spans="1:8">
      <c r="B41" s="41"/>
      <c r="C41" s="41"/>
      <c r="D41" s="41"/>
      <c r="E41" s="41"/>
      <c r="F41" s="41"/>
      <c r="G41" s="41"/>
      <c r="H41" s="42"/>
    </row>
    <row r="42" spans="1:8">
      <c r="A42" s="16" t="s">
        <v>174</v>
      </c>
      <c r="B42" s="41">
        <v>2625.8</v>
      </c>
      <c r="C42" s="41">
        <v>2601</v>
      </c>
      <c r="D42" s="41">
        <v>2539.1</v>
      </c>
      <c r="E42" s="41">
        <v>2483.9</v>
      </c>
      <c r="F42" s="41">
        <v>2471.9</v>
      </c>
      <c r="G42" s="41">
        <v>2454.4</v>
      </c>
      <c r="H42" s="41">
        <v>2454.4</v>
      </c>
    </row>
    <row r="43" spans="1:8">
      <c r="B43" s="41"/>
      <c r="C43" s="41"/>
      <c r="D43" s="41"/>
      <c r="E43" s="41"/>
      <c r="F43" s="41"/>
      <c r="G43" s="41"/>
      <c r="H43" s="42"/>
    </row>
    <row r="44" spans="1:8">
      <c r="A44" s="48" t="s">
        <v>175</v>
      </c>
      <c r="B44" s="49">
        <f t="shared" ref="B44:H44" si="0">B30-B40</f>
        <v>0</v>
      </c>
      <c r="C44" s="49">
        <f t="shared" si="0"/>
        <v>0</v>
      </c>
      <c r="D44" s="49">
        <f t="shared" si="0"/>
        <v>0</v>
      </c>
      <c r="E44" s="49">
        <f t="shared" si="0"/>
        <v>0</v>
      </c>
      <c r="F44" s="49">
        <f t="shared" si="0"/>
        <v>0</v>
      </c>
      <c r="G44" s="49">
        <f t="shared" si="0"/>
        <v>0</v>
      </c>
      <c r="H44" s="49">
        <f t="shared" si="0"/>
        <v>-6366.7922173235129</v>
      </c>
    </row>
    <row r="45" spans="1:8">
      <c r="A45" s="22"/>
      <c r="B45" s="42"/>
      <c r="C45" s="42"/>
      <c r="D45" s="42"/>
      <c r="E45" s="42"/>
      <c r="F45" s="42"/>
      <c r="G45" s="42"/>
      <c r="H45" s="42"/>
    </row>
    <row r="46" spans="1:8">
      <c r="A46" s="43" t="s">
        <v>176</v>
      </c>
      <c r="B46" s="41"/>
      <c r="C46" s="41"/>
      <c r="D46" s="41"/>
      <c r="E46" s="41"/>
      <c r="F46" s="41"/>
      <c r="G46" s="41"/>
      <c r="H46" s="42"/>
    </row>
    <row r="47" spans="1:8">
      <c r="A47" s="43" t="s">
        <v>177</v>
      </c>
      <c r="B47" s="50">
        <v>23.481923890063399</v>
      </c>
      <c r="C47" s="50">
        <v>21.345772353451199</v>
      </c>
      <c r="D47" s="50">
        <v>22.458877374138002</v>
      </c>
      <c r="E47" s="50">
        <v>23.620893593151699</v>
      </c>
      <c r="F47" s="50">
        <v>25.1667975582765</v>
      </c>
      <c r="G47" s="50">
        <v>26.6396647050449</v>
      </c>
      <c r="H47" s="51">
        <v>24.754976315439428</v>
      </c>
    </row>
    <row r="48" spans="1:8">
      <c r="A48" s="43" t="s">
        <v>178</v>
      </c>
      <c r="B48" s="50">
        <v>55.404420256380597</v>
      </c>
      <c r="C48" s="50">
        <v>56.6690782712176</v>
      </c>
      <c r="D48" s="50">
        <v>56.117391304347798</v>
      </c>
      <c r="E48" s="50">
        <v>59.963673708920197</v>
      </c>
      <c r="F48" s="50">
        <v>63.3310960591133</v>
      </c>
      <c r="G48" s="50">
        <v>64.818781391719895</v>
      </c>
      <c r="H48" s="51">
        <v>66.632335902023854</v>
      </c>
    </row>
    <row r="49" spans="1:16">
      <c r="A49" s="43" t="s">
        <v>179</v>
      </c>
      <c r="B49" s="50">
        <v>121.250373716905</v>
      </c>
      <c r="C49" s="50">
        <v>125.654089782429</v>
      </c>
      <c r="D49" s="50">
        <v>121.630177613383</v>
      </c>
      <c r="E49" s="50">
        <v>125.853389421419</v>
      </c>
      <c r="F49" s="50">
        <v>134.87048738129499</v>
      </c>
      <c r="G49" s="50">
        <v>134.36901781770001</v>
      </c>
      <c r="H49" s="51">
        <v>142.57672899408271</v>
      </c>
    </row>
    <row r="50" spans="1:16">
      <c r="A50" s="52"/>
      <c r="B50" s="41"/>
      <c r="C50" s="41"/>
      <c r="D50" s="41"/>
      <c r="E50" s="41"/>
      <c r="F50" s="41"/>
      <c r="G50" s="41"/>
      <c r="H50" s="42"/>
    </row>
    <row r="51" spans="1:16">
      <c r="A51" s="27" t="s">
        <v>180</v>
      </c>
      <c r="B51" s="41"/>
      <c r="C51" s="41"/>
      <c r="D51" s="41"/>
      <c r="E51" s="41"/>
      <c r="F51" s="41"/>
      <c r="G51" s="41"/>
      <c r="H51" s="42"/>
    </row>
    <row r="52" spans="1:16">
      <c r="A52" s="53" t="s">
        <v>181</v>
      </c>
      <c r="B52" s="30">
        <v>16116</v>
      </c>
      <c r="C52" s="30">
        <v>17087</v>
      </c>
      <c r="D52" s="30">
        <v>17600</v>
      </c>
      <c r="E52" s="30">
        <v>17452</v>
      </c>
      <c r="F52" s="30">
        <v>17870</v>
      </c>
      <c r="G52" s="30">
        <v>18912</v>
      </c>
      <c r="H52" s="34">
        <v>18744.477140073341</v>
      </c>
      <c r="J52" s="35"/>
      <c r="K52" s="35"/>
      <c r="L52" s="35"/>
      <c r="M52" s="35"/>
      <c r="N52" s="35"/>
      <c r="O52" s="35"/>
      <c r="P52" s="35"/>
    </row>
    <row r="53" spans="1:16">
      <c r="A53" s="53" t="s">
        <v>182</v>
      </c>
      <c r="B53" s="30">
        <v>17403</v>
      </c>
      <c r="C53" s="30">
        <v>18371</v>
      </c>
      <c r="D53" s="30">
        <v>16723</v>
      </c>
      <c r="E53" s="30">
        <v>16848</v>
      </c>
      <c r="F53" s="30">
        <v>19845</v>
      </c>
      <c r="G53" s="30">
        <v>17818</v>
      </c>
      <c r="H53" s="30">
        <v>18499.498290239029</v>
      </c>
    </row>
    <row r="54" spans="1:16">
      <c r="A54" s="53" t="s">
        <v>183</v>
      </c>
      <c r="B54" s="30">
        <v>-3073</v>
      </c>
      <c r="C54" s="30">
        <v>-2787</v>
      </c>
      <c r="D54" s="30">
        <v>-3156</v>
      </c>
      <c r="E54" s="30">
        <v>-3062</v>
      </c>
      <c r="F54" s="30">
        <v>-3322</v>
      </c>
      <c r="G54" s="30">
        <v>-3773</v>
      </c>
      <c r="H54" s="34">
        <v>-3424.624195461286</v>
      </c>
      <c r="J54" s="35"/>
      <c r="K54" s="35"/>
      <c r="L54" s="35"/>
      <c r="M54" s="35"/>
      <c r="N54" s="35"/>
      <c r="O54" s="35"/>
      <c r="P54" s="35"/>
    </row>
    <row r="55" spans="1:16">
      <c r="A55" s="53" t="s">
        <v>184</v>
      </c>
      <c r="B55" s="30">
        <v>3045</v>
      </c>
      <c r="C55" s="30">
        <v>-2834</v>
      </c>
      <c r="D55" s="30">
        <v>-4424</v>
      </c>
      <c r="E55" s="30">
        <v>-3500</v>
      </c>
      <c r="F55" s="30">
        <v>-3504</v>
      </c>
      <c r="G55" s="30">
        <v>-3818</v>
      </c>
      <c r="H55" s="30">
        <v>-3424.624195461286</v>
      </c>
    </row>
    <row r="56" spans="1:16">
      <c r="A56" s="53" t="s">
        <v>185</v>
      </c>
      <c r="B56" s="30">
        <v>-7789</v>
      </c>
      <c r="C56" s="30">
        <v>-8263</v>
      </c>
      <c r="D56" s="30">
        <v>-8770</v>
      </c>
      <c r="E56" s="30">
        <v>-8999</v>
      </c>
      <c r="F56" s="30">
        <v>-9312</v>
      </c>
      <c r="G56" s="30">
        <v>-9872</v>
      </c>
      <c r="H56" s="34">
        <v>-9504.4146004854138</v>
      </c>
    </row>
    <row r="57" spans="1:16">
      <c r="A57" s="53" t="s">
        <v>186</v>
      </c>
      <c r="B57" s="30">
        <v>-8367</v>
      </c>
      <c r="C57" s="30">
        <v>-21531</v>
      </c>
      <c r="D57" s="30">
        <v>-14876</v>
      </c>
      <c r="E57" s="30">
        <v>-12146</v>
      </c>
      <c r="F57" s="30">
        <v>-14855</v>
      </c>
      <c r="G57" s="30">
        <v>-14036</v>
      </c>
      <c r="H57" s="54">
        <v>-9829.4401476712046</v>
      </c>
    </row>
    <row r="58" spans="1:16">
      <c r="A58" s="53" t="s">
        <v>187</v>
      </c>
      <c r="B58" s="16">
        <v>11942</v>
      </c>
      <c r="C58" s="16">
        <v>-5893</v>
      </c>
      <c r="D58" s="16">
        <v>-3074</v>
      </c>
      <c r="E58" s="16">
        <v>1032</v>
      </c>
      <c r="F58" s="16">
        <v>1235</v>
      </c>
      <c r="G58" s="16">
        <v>75</v>
      </c>
      <c r="H58" s="55">
        <v>5245.4339471065432</v>
      </c>
    </row>
    <row r="59" spans="1:16">
      <c r="A59" s="53" t="s">
        <v>188</v>
      </c>
      <c r="B59" s="41">
        <v>14330</v>
      </c>
      <c r="C59" s="41">
        <v>15584</v>
      </c>
      <c r="D59" s="41">
        <v>13567</v>
      </c>
      <c r="E59" s="41">
        <v>13786</v>
      </c>
      <c r="F59" s="41">
        <v>16523</v>
      </c>
      <c r="G59" s="41">
        <v>14045</v>
      </c>
      <c r="H59" s="34">
        <v>15319.852944612059</v>
      </c>
    </row>
  </sheetData>
  <conditionalFormatting sqref="B44:H44">
    <cfRule type="cellIs" dxfId="0" priority="1" operator="equal">
      <formula>0</formula>
    </cfRule>
  </conditionalFormatting>
  <pageMargins left="0.2" right="0.2" top="0.25" bottom="0.25" header="0.3" footer="0.3"/>
  <pageSetup scale="6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Exam</vt:lpstr>
      <vt:lpstr>Financials</vt:lpstr>
      <vt:lpstr>Exam!Print_Area</vt:lpstr>
      <vt:lpstr>Exam!Print_Titles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Sivin, Gregory Y.</dc:creator>
  <cp:lastModifiedBy>mburu kiganya</cp:lastModifiedBy>
  <dcterms:created xsi:type="dcterms:W3CDTF">2026-02-24T21:14:18Z</dcterms:created>
  <dcterms:modified xsi:type="dcterms:W3CDTF">2026-03-06T00:27:36Z</dcterms:modified>
</cp:coreProperties>
</file>